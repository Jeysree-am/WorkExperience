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xr:revisionPtr revIDLastSave="0" documentId="13_ncr:1_{519B616A-1278-43D9-8FF4-D0A92BB0E804}" xr6:coauthVersionLast="47" xr6:coauthVersionMax="47" xr10:uidLastSave="{00000000-0000-0000-0000-000000000000}"/>
  <bookViews>
    <workbookView xWindow="-108" yWindow="-108" windowWidth="23256" windowHeight="12456" xr2:uid="{155CCDC3-2F1F-4E95-8149-D21C1FD66EB3}"/>
  </bookViews>
  <sheets>
    <sheet name="Manual Execution Metrics" sheetId="1" r:id="rId1"/>
    <sheet name="Automation Metrics" sheetId="2" r:id="rId2"/>
    <sheet name="Defect Metr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H4" i="3"/>
  <c r="G7" i="2"/>
  <c r="H5" i="2"/>
  <c r="G5" i="2"/>
  <c r="B2" i="2"/>
  <c r="H6" i="3"/>
  <c r="M10" i="3"/>
  <c r="B10" i="3"/>
  <c r="B2" i="3"/>
  <c r="B3" i="3"/>
  <c r="E6" i="1"/>
  <c r="E5" i="1"/>
  <c r="E4" i="1"/>
  <c r="G3" i="2" l="1"/>
</calcChain>
</file>

<file path=xl/sharedStrings.xml><?xml version="1.0" encoding="utf-8"?>
<sst xmlns="http://schemas.openxmlformats.org/spreadsheetml/2006/main" count="68" uniqueCount="66">
  <si>
    <t>Test  Execution  Metrics</t>
  </si>
  <si>
    <t>Test Cases  Execution Progress</t>
  </si>
  <si>
    <t>Pass Percentage</t>
  </si>
  <si>
    <t>Fail Percentage</t>
  </si>
  <si>
    <t>Total  No.of Test cases Executed</t>
  </si>
  <si>
    <t>Total No.of Test Cases Passed</t>
  </si>
  <si>
    <t>Total No.of Test Cases Failed</t>
  </si>
  <si>
    <t>No.of Test cases Blocked</t>
  </si>
  <si>
    <t>Total No.of Requirements</t>
  </si>
  <si>
    <t>Total No.of Test cases Created</t>
  </si>
  <si>
    <t>Total No.of Defects Found in QA environment</t>
  </si>
  <si>
    <t>Total No.of Defects found in UAT</t>
  </si>
  <si>
    <t>Total no.of defect found in Production</t>
  </si>
  <si>
    <t>▪ % of test cases NOT executed:</t>
  </si>
  <si>
    <t>▪ % Test cases passed</t>
  </si>
  <si>
    <t>(No.of Test cases Passed /Total Test cases executed) * 100</t>
  </si>
  <si>
    <t>▪ % Test cases failed</t>
  </si>
  <si>
    <t>(No.of Test cases failed / Total Test cases executed) * 100</t>
  </si>
  <si>
    <t>▪ %Test cases blocked</t>
  </si>
  <si>
    <t>(No.of test cases blocked / Total Test cases executed ) * 100</t>
  </si>
  <si>
    <t>No.of Test cases executed / Total No. of Test cases created ) * 100</t>
  </si>
  <si>
    <t>(No.of Test cases NOT executed/Total No. of Test cases created) * 100</t>
  </si>
  <si>
    <t>Blocked/Skipped -Test Count</t>
  </si>
  <si>
    <t>Total No.of Test cases Automated</t>
  </si>
  <si>
    <t>Total No.of Eligible Testcases</t>
  </si>
  <si>
    <t>Weighted Size</t>
  </si>
  <si>
    <t>Simple</t>
  </si>
  <si>
    <t>Medium</t>
  </si>
  <si>
    <t>Complex</t>
  </si>
  <si>
    <t>Weight</t>
  </si>
  <si>
    <t>Defects found in UAT</t>
  </si>
  <si>
    <t>Defects Found in Production</t>
  </si>
  <si>
    <t>Count</t>
  </si>
  <si>
    <t>Defect Density</t>
  </si>
  <si>
    <t>Defect Leakage</t>
  </si>
  <si>
    <t>Defect Removal Efficiency</t>
  </si>
  <si>
    <t>Total No.of Defects in QA</t>
  </si>
  <si>
    <t>Total Defects</t>
  </si>
  <si>
    <t>Total no.of Defects /Weighted Size</t>
  </si>
  <si>
    <t>▪% of Test cases Executed:</t>
  </si>
  <si>
    <t>▪Defect Density</t>
  </si>
  <si>
    <t>Pre-release defects</t>
  </si>
  <si>
    <t>▪Defect Leakage Percentage</t>
  </si>
  <si>
    <t>▪Defect Removal Efficiency Percentage</t>
  </si>
  <si>
    <t>(Defects removal before release /Total Defects)*100</t>
  </si>
  <si>
    <t>(Defects found in Production/Total defects)*100</t>
  </si>
  <si>
    <t>Defect Metrics</t>
  </si>
  <si>
    <t>Automation Coverage</t>
  </si>
  <si>
    <t>▪Automation coverage</t>
  </si>
  <si>
    <t>(Automated Test cases/Total no.of Testcases)*100</t>
  </si>
  <si>
    <t>Average Execution  Time per Test</t>
  </si>
  <si>
    <t>▪Average Execution Time per Test</t>
  </si>
  <si>
    <t>Total Execution Time/Total Testcases</t>
  </si>
  <si>
    <t xml:space="preserve">Total Execution Time </t>
  </si>
  <si>
    <t>mins</t>
  </si>
  <si>
    <t xml:space="preserve">Smoke </t>
  </si>
  <si>
    <t>Regression</t>
  </si>
  <si>
    <t>sec per Test</t>
  </si>
  <si>
    <t>Automation Metrics</t>
  </si>
  <si>
    <t>Execution Time Reduction %</t>
  </si>
  <si>
    <t>▪Execution Time Reduction %</t>
  </si>
  <si>
    <t>(Manual Time-Automation Time)/Manual Time*100</t>
  </si>
  <si>
    <t xml:space="preserve">Manual Time </t>
  </si>
  <si>
    <t>Hours</t>
  </si>
  <si>
    <t>Automation Time</t>
  </si>
  <si>
    <t>Time 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</si>
</sst>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D305-1C65-4562-BC50-27EC352D14F9}">
  <dimension ref="A2:I22"/>
  <sheetViews>
    <sheetView tabSelected="1" workbookViewId="0">
      <selection activeCell="I10" sqref="I10"/>
    </sheetView>
  </sheetViews>
  <sheetFormatPr defaultRowHeight="14.4" x14ac:dyDescent="0.3"/>
  <cols>
    <col min="1" max="1" width="37.109375" customWidth="1"/>
    <col min="3" max="3" width="21.5546875" customWidth="1"/>
    <col min="4" max="4" width="35.44140625" customWidth="1"/>
    <col min="6" max="6" width="12.5546875" customWidth="1"/>
    <col min="9" max="9" width="68.21875" customWidth="1"/>
  </cols>
  <sheetData>
    <row r="2" spans="1:9" x14ac:dyDescent="0.3">
      <c r="A2" s="1" t="s">
        <v>8</v>
      </c>
      <c r="B2" s="1">
        <v>60</v>
      </c>
    </row>
    <row r="3" spans="1:9" x14ac:dyDescent="0.3">
      <c r="A3" s="1" t="s">
        <v>9</v>
      </c>
      <c r="B3" s="1">
        <v>220</v>
      </c>
      <c r="D3" s="2" t="s">
        <v>0</v>
      </c>
      <c r="E3" s="2"/>
    </row>
    <row r="4" spans="1:9" x14ac:dyDescent="0.3">
      <c r="A4" s="1" t="s">
        <v>4</v>
      </c>
      <c r="B4" s="1">
        <v>205</v>
      </c>
      <c r="D4" s="1" t="s">
        <v>1</v>
      </c>
      <c r="E4" s="1">
        <f>ROUND(B4/B3*100,0)</f>
        <v>93</v>
      </c>
    </row>
    <row r="5" spans="1:9" x14ac:dyDescent="0.3">
      <c r="A5" s="1" t="s">
        <v>5</v>
      </c>
      <c r="B5" s="1">
        <v>90</v>
      </c>
      <c r="D5" s="1" t="s">
        <v>2</v>
      </c>
      <c r="E5" s="1">
        <f>ROUND(B5/B4*100,0)</f>
        <v>44</v>
      </c>
    </row>
    <row r="6" spans="1:9" x14ac:dyDescent="0.3">
      <c r="A6" s="1" t="s">
        <v>6</v>
      </c>
      <c r="B6" s="1">
        <v>115</v>
      </c>
      <c r="D6" s="1" t="s">
        <v>3</v>
      </c>
      <c r="E6" s="1">
        <f>ROUND(B6/B4*100,0)</f>
        <v>56</v>
      </c>
    </row>
    <row r="7" spans="1:9" x14ac:dyDescent="0.3">
      <c r="A7" s="1" t="s">
        <v>7</v>
      </c>
      <c r="B7" s="1">
        <v>15</v>
      </c>
      <c r="D7" s="1" t="s">
        <v>22</v>
      </c>
      <c r="E7" s="1">
        <v>15</v>
      </c>
    </row>
    <row r="8" spans="1:9" x14ac:dyDescent="0.3">
      <c r="A8" s="1" t="s">
        <v>10</v>
      </c>
      <c r="B8" s="1">
        <v>170</v>
      </c>
      <c r="D8" s="1"/>
      <c r="E8" s="1"/>
    </row>
    <row r="9" spans="1:9" x14ac:dyDescent="0.3">
      <c r="A9" s="1" t="s">
        <v>11</v>
      </c>
      <c r="B9" s="1">
        <v>12</v>
      </c>
    </row>
    <row r="10" spans="1:9" x14ac:dyDescent="0.3">
      <c r="A10" s="1" t="s">
        <v>12</v>
      </c>
      <c r="B10" s="1">
        <v>2</v>
      </c>
    </row>
    <row r="13" spans="1:9" x14ac:dyDescent="0.3">
      <c r="I13" t="s">
        <v>39</v>
      </c>
    </row>
    <row r="14" spans="1:9" x14ac:dyDescent="0.3">
      <c r="I14" t="s">
        <v>20</v>
      </c>
    </row>
    <row r="15" spans="1:9" x14ac:dyDescent="0.3">
      <c r="I15" t="s">
        <v>13</v>
      </c>
    </row>
    <row r="16" spans="1:9" x14ac:dyDescent="0.3">
      <c r="I16" t="s">
        <v>21</v>
      </c>
    </row>
    <row r="17" spans="9:9" x14ac:dyDescent="0.3">
      <c r="I17" t="s">
        <v>14</v>
      </c>
    </row>
    <row r="18" spans="9:9" x14ac:dyDescent="0.3">
      <c r="I18" t="s">
        <v>15</v>
      </c>
    </row>
    <row r="19" spans="9:9" x14ac:dyDescent="0.3">
      <c r="I19" t="s">
        <v>16</v>
      </c>
    </row>
    <row r="20" spans="9:9" x14ac:dyDescent="0.3">
      <c r="I20" t="s">
        <v>17</v>
      </c>
    </row>
    <row r="21" spans="9:9" x14ac:dyDescent="0.3">
      <c r="I21" t="s">
        <v>18</v>
      </c>
    </row>
    <row r="22" spans="9:9" x14ac:dyDescent="0.3">
      <c r="I22" t="s">
        <v>19</v>
      </c>
    </row>
  </sheetData>
  <mergeCells count="1"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69ED-3899-48DD-904D-0F55C247E0A4}">
  <dimension ref="A1:N14"/>
  <sheetViews>
    <sheetView workbookViewId="0">
      <selection activeCell="K22" sqref="K22"/>
    </sheetView>
  </sheetViews>
  <sheetFormatPr defaultRowHeight="14.4" x14ac:dyDescent="0.3"/>
  <cols>
    <col min="1" max="1" width="37.77734375" customWidth="1"/>
    <col min="6" max="6" width="35.109375" customWidth="1"/>
    <col min="11" max="11" width="17.88671875" customWidth="1"/>
  </cols>
  <sheetData>
    <row r="1" spans="1:14" x14ac:dyDescent="0.3">
      <c r="A1" s="3" t="s">
        <v>24</v>
      </c>
      <c r="B1" s="1">
        <v>220</v>
      </c>
    </row>
    <row r="2" spans="1:14" x14ac:dyDescent="0.3">
      <c r="A2" s="3" t="s">
        <v>23</v>
      </c>
      <c r="B2" s="1">
        <f>SUM(B3:B4)</f>
        <v>180</v>
      </c>
      <c r="F2" s="4" t="s">
        <v>58</v>
      </c>
      <c r="G2" s="1"/>
    </row>
    <row r="3" spans="1:14" x14ac:dyDescent="0.3">
      <c r="A3" s="3" t="s">
        <v>55</v>
      </c>
      <c r="B3" s="1">
        <v>30</v>
      </c>
      <c r="F3" s="1" t="s">
        <v>47</v>
      </c>
      <c r="G3" s="1">
        <f>ROUND(B2/B1*100,0)</f>
        <v>82</v>
      </c>
      <c r="K3" t="s">
        <v>48</v>
      </c>
    </row>
    <row r="4" spans="1:14" x14ac:dyDescent="0.3">
      <c r="A4" s="3" t="s">
        <v>56</v>
      </c>
      <c r="B4" s="1">
        <v>150</v>
      </c>
      <c r="F4" s="1"/>
      <c r="G4" s="1"/>
      <c r="K4" t="s">
        <v>49</v>
      </c>
    </row>
    <row r="5" spans="1:14" x14ac:dyDescent="0.3">
      <c r="F5" s="1" t="s">
        <v>50</v>
      </c>
      <c r="G5" s="1">
        <f>M8/B4</f>
        <v>0.6</v>
      </c>
      <c r="H5">
        <f>G5*60</f>
        <v>36</v>
      </c>
      <c r="I5" t="s">
        <v>57</v>
      </c>
      <c r="K5" t="s">
        <v>51</v>
      </c>
    </row>
    <row r="6" spans="1:14" x14ac:dyDescent="0.3">
      <c r="K6" t="s">
        <v>52</v>
      </c>
    </row>
    <row r="7" spans="1:14" x14ac:dyDescent="0.3">
      <c r="F7" t="s">
        <v>59</v>
      </c>
      <c r="G7" s="5">
        <f>ROUND((L13-L14)/L13*100,0)</f>
        <v>81</v>
      </c>
      <c r="H7" t="s">
        <v>65</v>
      </c>
    </row>
    <row r="8" spans="1:14" x14ac:dyDescent="0.3">
      <c r="K8" s="6" t="s">
        <v>53</v>
      </c>
      <c r="L8" s="6"/>
      <c r="M8" s="6">
        <v>90</v>
      </c>
      <c r="N8" s="6" t="s">
        <v>54</v>
      </c>
    </row>
    <row r="10" spans="1:14" x14ac:dyDescent="0.3">
      <c r="K10" t="s">
        <v>60</v>
      </c>
    </row>
    <row r="11" spans="1:14" x14ac:dyDescent="0.3">
      <c r="K11" t="s">
        <v>61</v>
      </c>
    </row>
    <row r="13" spans="1:14" x14ac:dyDescent="0.3">
      <c r="K13" t="s">
        <v>62</v>
      </c>
      <c r="L13">
        <v>8</v>
      </c>
      <c r="M13" t="s">
        <v>63</v>
      </c>
    </row>
    <row r="14" spans="1:14" x14ac:dyDescent="0.3">
      <c r="K14" t="s">
        <v>64</v>
      </c>
      <c r="L14">
        <v>1.5</v>
      </c>
      <c r="M14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88E3-2B33-4843-855C-24AE674983AA}">
  <dimension ref="A1:M10"/>
  <sheetViews>
    <sheetView workbookViewId="0">
      <selection activeCell="I10" sqref="I10"/>
    </sheetView>
  </sheetViews>
  <sheetFormatPr defaultRowHeight="14.4" x14ac:dyDescent="0.3"/>
  <cols>
    <col min="1" max="1" width="29.109375" customWidth="1"/>
    <col min="7" max="7" width="34.5546875" customWidth="1"/>
  </cols>
  <sheetData>
    <row r="1" spans="1:13" x14ac:dyDescent="0.3">
      <c r="A1" s="1"/>
      <c r="B1" s="3" t="s">
        <v>32</v>
      </c>
      <c r="C1" s="3" t="s">
        <v>29</v>
      </c>
    </row>
    <row r="2" spans="1:13" x14ac:dyDescent="0.3">
      <c r="A2" s="1" t="s">
        <v>25</v>
      </c>
      <c r="B2" s="1">
        <f>SUM(B4*C4,B5*C5,B6*C6)</f>
        <v>115</v>
      </c>
      <c r="C2" s="1"/>
    </row>
    <row r="3" spans="1:13" x14ac:dyDescent="0.3">
      <c r="A3" s="1" t="s">
        <v>8</v>
      </c>
      <c r="B3" s="1">
        <f>SUM(B4:B6)</f>
        <v>60</v>
      </c>
      <c r="C3" s="1"/>
      <c r="G3" s="4" t="s">
        <v>46</v>
      </c>
      <c r="H3" s="1"/>
      <c r="K3" t="s">
        <v>40</v>
      </c>
    </row>
    <row r="4" spans="1:13" x14ac:dyDescent="0.3">
      <c r="A4" s="1" t="s">
        <v>26</v>
      </c>
      <c r="B4" s="1">
        <v>20</v>
      </c>
      <c r="C4" s="1">
        <v>1</v>
      </c>
      <c r="G4" s="1" t="s">
        <v>33</v>
      </c>
      <c r="H4" s="1">
        <f>B7/B2</f>
        <v>1.4782608695652173</v>
      </c>
      <c r="K4" t="s">
        <v>38</v>
      </c>
    </row>
    <row r="5" spans="1:13" x14ac:dyDescent="0.3">
      <c r="A5" s="1" t="s">
        <v>27</v>
      </c>
      <c r="B5" s="1">
        <v>25</v>
      </c>
      <c r="C5" s="1">
        <v>2</v>
      </c>
      <c r="G5" s="1" t="s">
        <v>34</v>
      </c>
      <c r="H5" s="1">
        <f>(B9/B10)*100</f>
        <v>1.0869565217391304</v>
      </c>
      <c r="K5" t="s">
        <v>42</v>
      </c>
    </row>
    <row r="6" spans="1:13" x14ac:dyDescent="0.3">
      <c r="A6" s="1" t="s">
        <v>28</v>
      </c>
      <c r="B6" s="1">
        <v>15</v>
      </c>
      <c r="C6" s="1">
        <v>3</v>
      </c>
      <c r="G6" s="1" t="s">
        <v>35</v>
      </c>
      <c r="H6" s="1">
        <f>(M10/B10)*100</f>
        <v>98.91304347826086</v>
      </c>
      <c r="K6" t="s">
        <v>45</v>
      </c>
    </row>
    <row r="7" spans="1:13" x14ac:dyDescent="0.3">
      <c r="A7" s="1" t="s">
        <v>36</v>
      </c>
      <c r="B7" s="1">
        <v>170</v>
      </c>
      <c r="C7" s="1"/>
      <c r="K7" t="s">
        <v>43</v>
      </c>
    </row>
    <row r="8" spans="1:13" x14ac:dyDescent="0.3">
      <c r="A8" s="1" t="s">
        <v>30</v>
      </c>
      <c r="B8" s="1">
        <v>12</v>
      </c>
      <c r="C8" s="1"/>
      <c r="K8" t="s">
        <v>44</v>
      </c>
    </row>
    <row r="9" spans="1:13" x14ac:dyDescent="0.3">
      <c r="A9" s="1" t="s">
        <v>31</v>
      </c>
      <c r="B9" s="1">
        <v>2</v>
      </c>
      <c r="C9" s="1"/>
    </row>
    <row r="10" spans="1:13" x14ac:dyDescent="0.3">
      <c r="A10" s="1" t="s">
        <v>37</v>
      </c>
      <c r="B10" s="1">
        <f>SUM(B7:B9)</f>
        <v>184</v>
      </c>
      <c r="C10" s="1"/>
      <c r="K10" t="s">
        <v>41</v>
      </c>
      <c r="M10">
        <f>SUM(B7:B8)</f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Execution Metrics</vt:lpstr>
      <vt:lpstr>Automation Metrics</vt:lpstr>
      <vt:lpstr>Defect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5kuno</dc:creator>
  <cp:lastModifiedBy>5kuno</cp:lastModifiedBy>
  <dcterms:created xsi:type="dcterms:W3CDTF">2026-04-30T13:37:55Z</dcterms:created>
  <dcterms:modified xsi:type="dcterms:W3CDTF">2026-04-30T15:22:10Z</dcterms:modified>
</cp:coreProperties>
</file>